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stadístico" state="visible" r:id="rId4"/>
  </sheets>
  <calcPr calcId="171027"/>
</workbook>
</file>

<file path=xl/sharedStrings.xml><?xml version="1.0" encoding="utf-8"?>
<sst xmlns="http://schemas.openxmlformats.org/spreadsheetml/2006/main" count="72" uniqueCount="72">
  <si>
    <t>Nombre EECC</t>
  </si>
  <si>
    <t>Nro de supervisores EECC</t>
  </si>
  <si>
    <t>Dependencia donde presta Servicios</t>
  </si>
  <si>
    <t>Nro de EPR EECC</t>
  </si>
  <si>
    <t>Mes  informado</t>
  </si>
  <si>
    <t xml:space="preserve">Dotación Total </t>
  </si>
  <si>
    <t xml:space="preserve">Nro de personas nuevas ingresadas en el mes </t>
  </si>
  <si>
    <t>DESEMPEÑO</t>
  </si>
  <si>
    <t>Resumen de Capacitaciones</t>
  </si>
  <si>
    <t>IMC</t>
  </si>
  <si>
    <t>% Cumplimiento de Resolución de Tarjetas</t>
  </si>
  <si>
    <t xml:space="preserve">Asistencia CPHS 
(si es que Aplica)</t>
  </si>
  <si>
    <t xml:space="preserve">Cumplimiento TOTAL del Programa </t>
  </si>
  <si>
    <t>Tema tratado</t>
  </si>
  <si>
    <t>N° de Personas Capacitadas</t>
  </si>
  <si>
    <t xml:space="preserve">HH de Capacitación </t>
  </si>
  <si>
    <t>MÓDULOS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</si>
  <si>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</si>
  <si>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</si>
  <si>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</si>
  <si>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</si>
  <si>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</si>
  <si>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</si>
  <si>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</si>
  <si>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</si>
  <si>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</si>
  <si>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</si>
  <si>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</si>
  <si>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</si>
  <si>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TOTAL</t>
  </si>
  <si>
    <t>ELEMENTO 1: Liderazgo y compromiso</t>
  </si>
  <si>
    <t>ELEMENTO 2: Evaluación del riesgo y Gestión del riesgo</t>
  </si>
  <si>
    <t>ELEMENTO 5: Competencias y capacitación del personal</t>
  </si>
  <si>
    <t xml:space="preserve">ELEMENTO 6: Operaciones
ELEMENTO 7: Integridad Mecánica</t>
  </si>
  <si>
    <t>ELEMENTO 9: Servicios de terceros</t>
  </si>
  <si>
    <t>ELEMENTO 10: Investigación de accidentes</t>
  </si>
  <si>
    <t xml:space="preserve">ELEMENTO 12: Evaluación y Mejora de la Integridad de las Operaciones </t>
  </si>
  <si>
    <t>TOTAL MENSUAL</t>
  </si>
  <si>
    <t>RESULTADOS</t>
  </si>
  <si>
    <t>Mes</t>
  </si>
  <si>
    <t>Num. Acc.</t>
  </si>
  <si>
    <t>Acc. Acum.</t>
  </si>
  <si>
    <t>Días Perdidos</t>
  </si>
  <si>
    <t>D. Pérdidos Acum.</t>
  </si>
  <si>
    <t>HH Trabajadas Mensual</t>
  </si>
  <si>
    <t>Numero Trab.</t>
  </si>
  <si>
    <t>Prom. Trab.</t>
  </si>
  <si>
    <t>TASAS MENSUALES</t>
  </si>
  <si>
    <t>Accid.</t>
  </si>
  <si>
    <t>Siniestralidad</t>
  </si>
  <si>
    <t>Frec.</t>
  </si>
  <si>
    <t>Grav.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</si>
  <si>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</si>
  <si>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</si>
  <si>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</si>
  <si>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</si>
  <si>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</si>
  <si>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</si>
  <si>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</si>
  <si>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</si>
  <si>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</si>
  <si>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</si>
  <si>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</si>
  <si>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</si>
  <si>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 Accidentado</t>
  </si>
  <si>
    <t>Fecha Accidente</t>
  </si>
  <si>
    <t>Hora Accidente</t>
  </si>
  <si>
    <t>Fecha Presentación Mutualidad</t>
  </si>
  <si>
    <t>Fecha Alta Médica</t>
  </si>
  <si>
    <t>Nº Dias Pérdidos del MES</t>
  </si>
  <si>
    <t>Nº Días Pérdidos Acum.</t>
  </si>
  <si>
    <t>Informe de 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</si>
</sst>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">
    <font>
      <color theme="1"/>
      <family val="2"/>
      <scheme val="minor"/>
      <sz val="11"/>
      <name val="Calibri"/>
    </font>
    <font>
      <family val="2"/>
      <sz val="10"/>
      <name val="Calibri Light"/>
    </font>
    <font>
      <b/>
      <family val="2"/>
      <sz val="12"/>
      <name val="Calibri Light"/>
    </font>
    <font>
      <color theme="1"/>
      <family val="2"/>
      <sz val="10"/>
      <name val="Calibri Light"/>
    </font>
    <font>
      <b/>
      <family val="2"/>
      <sz val="11"/>
      <name val="Calibri Light"/>
    </font>
    <font>
      <color theme="0"/>
      <family val="2"/>
      <sz val="10"/>
      <name val="Calibri Light"/>
    </font>
    <font>
      <b/>
      <color theme="1"/>
      <family val="2"/>
      <sz val="8"/>
      <name val="Calibri Light"/>
    </font>
    <font>
      <b/>
      <family val="2"/>
      <sz val="8"/>
      <name val="Calibri Light"/>
    </font>
    <font>
      <family val="2"/>
      <sz val="8"/>
      <name val="Calibri Light"/>
    </font>
    <font>
      <family val="2"/>
      <sz val="9"/>
      <name val="Calibri Light"/>
    </font>
    <font>
      <b/>
      <color theme="0"/>
      <family val="2"/>
      <sz val="8"/>
      <name val="Calibri Light"/>
    </font>
    <font>
      <color theme="1"/>
      <family val="2"/>
      <sz val="8"/>
      <name val="Calibri Light"/>
    </font>
    <font>
      <b/>
      <color theme="0"/>
      <family val="2"/>
      <sz val="11"/>
      <name val="Calibri Light"/>
    </font>
    <font>
      <color theme="1"/>
      <family val="2"/>
      <sz val="11"/>
      <name val="Calibri Light"/>
    </font>
    <font>
      <family val="2"/>
      <sz val="7"/>
      <name val="Calibri Light"/>
    </font>
    <font>
      <b/>
      <family val="2"/>
      <sz val="10"/>
      <name val="Calibri Light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6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9" fontId="9" fillId="2" borderId="6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10" fillId="6" borderId="8" xfId="0" applyFont="1" applyFill="1" applyBorder="1" applyAlignment="1">
      <alignment horizontal="left" vertical="center"/>
    </xf>
    <xf numFmtId="0" fontId="11" fillId="7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left" vertical="center" wrapText="1"/>
    </xf>
    <xf numFmtId="9" fontId="11" fillId="0" borderId="9" xfId="0" applyNumberFormat="1" applyFont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 wrapText="1"/>
    </xf>
    <xf numFmtId="9" fontId="13" fillId="0" borderId="9" xfId="0" applyNumberFormat="1" applyFont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3" fillId="0" borderId="0" xfId="0" applyFont="1"/>
    <xf numFmtId="0" fontId="1" fillId="2" borderId="10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1" fontId="1" fillId="5" borderId="10" xfId="0" applyNumberFormat="1" applyFont="1" applyFill="1" applyBorder="1" applyAlignment="1">
      <alignment horizontal="center" vertical="center" wrapText="1"/>
    </xf>
    <xf numFmtId="164" fontId="8" fillId="5" borderId="10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14" fontId="1" fillId="2" borderId="10" xfId="0" applyNumberFormat="1" applyFont="1" applyFill="1" applyBorder="1" applyAlignment="1">
      <alignment horizontal="center" vertical="center" wrapText="1"/>
    </xf>
    <xf numFmtId="20" fontId="1" fillId="2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"/>
  <sheetFormatPr defaultRowHeight="15" outlineLevelRow="0" outlineLevelCol="0" x14ac:dyDescent="55"/>
  <cols>
    <col min="1" max="1" width="0.90625" customWidth="1"/>
    <col min="2" max="3" width="11.453125" customWidth="1"/>
    <col min="4" max="9" width="9.6328125" customWidth="1"/>
    <col min="10" max="10" width="10.36328125" customWidth="1"/>
    <col min="11" max="14" width="9.6328125" customWidth="1"/>
    <col min="15" max="15" width="10.08984375" customWidth="1"/>
    <col min="16" max="16" width="13.36328125" customWidth="1"/>
    <col min="17" max="17" width="3.90625" customWidth="1"/>
    <col min="18" max="16384" width="11.453125" customWidth="1"/>
  </cols>
  <sheetData>
    <row r="1" ht="19.75" customHeight="1" spans="1:16" x14ac:dyDescent="0.25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1"/>
      <c r="N1" s="2"/>
      <c r="O1" s="2"/>
      <c r="P1" s="2"/>
    </row>
    <row r="2" ht="19.75" customHeight="1" spans="1:16" x14ac:dyDescent="0.25">
      <c r="A2" s="1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1"/>
      <c r="N2" s="2"/>
      <c r="O2" s="2"/>
      <c r="P2" s="2"/>
    </row>
    <row r="3" ht="19.75" customHeight="1" spans="1:16" x14ac:dyDescent="0.25">
      <c r="A3" s="1"/>
      <c r="B3" s="2"/>
      <c r="C3" s="4"/>
      <c r="D3" s="2"/>
      <c r="E3" s="5"/>
      <c r="F3" s="5"/>
      <c r="G3" s="5"/>
      <c r="H3" s="5"/>
      <c r="I3" s="5"/>
      <c r="J3" s="5"/>
      <c r="K3" s="5"/>
      <c r="L3" s="5"/>
      <c r="M3" s="1"/>
      <c r="N3" s="6"/>
      <c r="O3" s="6"/>
      <c r="P3" s="6"/>
    </row>
    <row r="4" ht="19.75" customHeight="1" spans="1:16" x14ac:dyDescent="0.25">
      <c r="A4" s="1"/>
      <c r="B4" s="2"/>
      <c r="C4" s="2"/>
      <c r="D4" s="2"/>
      <c r="E4" s="5"/>
      <c r="F4" s="5"/>
      <c r="G4" s="5"/>
      <c r="H4" s="5"/>
      <c r="I4" s="5"/>
      <c r="J4" s="5"/>
      <c r="K4" s="5"/>
      <c r="L4" s="5"/>
      <c r="M4" s="1"/>
      <c r="N4" s="7"/>
      <c r="O4" s="7"/>
      <c r="P4" s="7"/>
    </row>
    <row r="5" spans="1:13" x14ac:dyDescent="0.25">
      <c r="A5" s="8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ht="25.75" customHeight="1" spans="1:16" x14ac:dyDescent="0.25">
      <c r="A6" s="8"/>
      <c r="B6" s="9" t="s">
        <v>0</v>
      </c>
      <c r="C6" s="9"/>
      <c r="D6" s="9"/>
      <c r="E6" s="10"/>
      <c r="F6" s="10"/>
      <c r="G6" s="10"/>
      <c r="H6" s="10"/>
      <c r="I6" s="11"/>
      <c r="J6" s="12"/>
      <c r="K6" s="13" t="s">
        <v>1</v>
      </c>
      <c r="L6" s="13"/>
      <c r="M6" s="10"/>
      <c r="N6" s="10"/>
      <c r="O6" s="10"/>
      <c r="P6" s="10"/>
    </row>
    <row r="7" ht="21.65" customHeight="1" spans="1:16" x14ac:dyDescent="0.25">
      <c r="A7" s="8"/>
      <c r="B7" s="9" t="s">
        <v>2</v>
      </c>
      <c r="C7" s="9"/>
      <c r="D7" s="9"/>
      <c r="E7" s="10"/>
      <c r="F7" s="10"/>
      <c r="G7" s="10"/>
      <c r="H7" s="10"/>
      <c r="I7" s="11"/>
      <c r="J7" s="12"/>
      <c r="K7" s="13" t="s">
        <v>3</v>
      </c>
      <c r="L7" s="13"/>
      <c r="M7" s="10"/>
      <c r="N7" s="10"/>
      <c r="O7" s="10"/>
      <c r="P7" s="10"/>
    </row>
    <row r="8" ht="21.65" customHeight="1" spans="1:16" x14ac:dyDescent="0.25">
      <c r="A8" s="14"/>
      <c r="B8" s="9" t="s">
        <v>4</v>
      </c>
      <c r="C8" s="9"/>
      <c r="D8" s="9"/>
      <c r="E8" s="15"/>
      <c r="F8" s="15"/>
      <c r="G8" s="15"/>
      <c r="H8" s="15"/>
      <c r="I8" s="11"/>
      <c r="J8" s="12"/>
      <c r="K8" s="13" t="s">
        <v>5</v>
      </c>
      <c r="L8" s="13"/>
      <c r="M8" s="15"/>
      <c r="N8" s="15"/>
      <c r="O8" s="15"/>
      <c r="P8" s="15"/>
    </row>
    <row r="9" ht="30" customHeight="1" spans="1:16" x14ac:dyDescent="0.25">
      <c r="A9" s="8"/>
      <c r="B9" s="9" t="s">
        <v>6</v>
      </c>
      <c r="C9" s="9"/>
      <c r="D9" s="9"/>
      <c r="E9" s="15"/>
      <c r="F9" s="15"/>
      <c r="G9" s="15"/>
      <c r="H9" s="15"/>
      <c r="I9" s="11"/>
      <c r="J9" s="16"/>
      <c r="K9" s="13"/>
      <c r="L9" s="13"/>
      <c r="M9" s="15"/>
      <c r="N9" s="15"/>
      <c r="O9" s="15"/>
      <c r="P9" s="15"/>
    </row>
    <row r="10" spans="1:13" x14ac:dyDescent="0.25">
      <c r="A10" s="8"/>
      <c r="B10" s="17"/>
      <c r="C10" s="17"/>
      <c r="D10" s="17"/>
      <c r="E10" s="2"/>
      <c r="F10" s="2"/>
      <c r="G10" s="2"/>
      <c r="H10" s="2"/>
      <c r="I10" s="2"/>
      <c r="J10" s="2"/>
      <c r="K10" s="17"/>
      <c r="L10" s="1"/>
      <c r="M10" s="1"/>
    </row>
    <row r="11" ht="18.65" customHeight="1" spans="1:16" x14ac:dyDescent="0.25">
      <c r="A11" s="8"/>
      <c r="B11" s="18" t="s">
        <v>7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ht="4.75" customHeight="1" spans="1:13" x14ac:dyDescent="0.25">
      <c r="A12" s="8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"/>
      <c r="M12" s="1"/>
    </row>
    <row r="13" ht="13.75" customHeight="1" spans="1:16" x14ac:dyDescent="0.25">
      <c r="A13" s="8"/>
      <c r="B13" s="19" t="s">
        <v>8</v>
      </c>
      <c r="C13" s="19"/>
      <c r="D13" s="19"/>
      <c r="E13" s="19"/>
      <c r="F13" s="19"/>
      <c r="G13" s="19"/>
      <c r="H13" s="19"/>
      <c r="I13" s="19"/>
      <c r="J13" s="20" t="s">
        <v>9</v>
      </c>
      <c r="K13" s="20"/>
      <c r="L13" s="20" t="s">
        <v>10</v>
      </c>
      <c r="M13" s="20"/>
      <c r="N13" s="20" t="s">
        <v>11</v>
      </c>
      <c r="O13" s="20"/>
      <c r="P13" s="21" t="s">
        <v>12</v>
      </c>
    </row>
    <row r="14" ht="25.25" customHeight="1" spans="1:16" x14ac:dyDescent="0.25">
      <c r="A14" s="8"/>
      <c r="B14" s="22" t="s">
        <v>13</v>
      </c>
      <c r="C14" s="22"/>
      <c r="D14" s="22"/>
      <c r="E14" s="22"/>
      <c r="F14" s="22" t="s">
        <v>14</v>
      </c>
      <c r="G14" s="22"/>
      <c r="H14" s="22" t="s">
        <v>15</v>
      </c>
      <c r="I14" s="22"/>
      <c r="J14" s="20"/>
      <c r="K14" s="20"/>
      <c r="L14" s="20"/>
      <c r="M14" s="20"/>
      <c r="N14" s="20"/>
      <c r="O14" s="20"/>
      <c r="P14" s="21"/>
    </row>
    <row r="15" ht="16.75" customHeight="1" spans="1:16" x14ac:dyDescent="0.25">
      <c r="A15" s="8"/>
      <c r="B15" s="23"/>
      <c r="C15" s="23"/>
      <c r="D15" s="23"/>
      <c r="E15" s="23"/>
      <c r="F15" s="23"/>
      <c r="G15" s="23"/>
      <c r="H15" s="24"/>
      <c r="I15" s="24"/>
      <c r="J15" s="25"/>
      <c r="K15" s="25"/>
      <c r="L15" s="25"/>
      <c r="M15" s="25"/>
      <c r="N15" s="25"/>
      <c r="O15" s="25"/>
      <c r="P15" s="25"/>
    </row>
    <row r="16" ht="16.75" customHeight="1" spans="1:16" x14ac:dyDescent="0.25">
      <c r="A16" s="8"/>
      <c r="B16" s="26"/>
      <c r="C16" s="26"/>
      <c r="D16" s="26"/>
      <c r="E16" s="26"/>
      <c r="F16" s="26"/>
      <c r="G16" s="26"/>
      <c r="H16" s="27"/>
      <c r="I16" s="27"/>
      <c r="J16" s="25"/>
      <c r="K16" s="25"/>
      <c r="L16" s="25"/>
      <c r="M16" s="25"/>
      <c r="N16" s="25"/>
      <c r="O16" s="25"/>
      <c r="P16" s="25"/>
    </row>
    <row r="17" ht="16.75" customHeight="1" spans="1:16" x14ac:dyDescent="0.25">
      <c r="A17" s="8"/>
      <c r="B17" s="23"/>
      <c r="C17" s="23"/>
      <c r="D17" s="23"/>
      <c r="E17" s="23"/>
      <c r="F17" s="23"/>
      <c r="G17" s="23"/>
      <c r="H17" s="24"/>
      <c r="I17" s="24"/>
      <c r="J17" s="25"/>
      <c r="K17" s="25"/>
      <c r="L17" s="25"/>
      <c r="M17" s="25"/>
      <c r="N17" s="25"/>
      <c r="O17" s="25"/>
      <c r="P17" s="25"/>
    </row>
    <row r="18" spans="1:13" x14ac:dyDescent="0.25">
      <c r="A18" s="8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6" x14ac:dyDescent="0.25">
      <c r="A19" s="8"/>
      <c r="B19" s="28" t="s">
        <v>16</v>
      </c>
      <c r="C19" s="28"/>
      <c r="D19" s="29" t="s">
        <v>17</v>
      </c>
      <c r="E19" s="29" t="s">
        <v>18</v>
      </c>
      <c r="F19" s="29" t="s">
        <v>19</v>
      </c>
      <c r="G19" s="29" t="s">
        <v>20</v>
      </c>
      <c r="H19" s="29" t="s">
        <v>21</v>
      </c>
      <c r="I19" s="29" t="s">
        <v>22</v>
      </c>
      <c r="J19" s="29" t="s">
        <v>23</v>
      </c>
      <c r="K19" s="29" t="s">
        <v>24</v>
      </c>
      <c r="L19" s="29" t="s">
        <v>25</v>
      </c>
      <c r="M19" s="29" t="s">
        <v>26</v>
      </c>
      <c r="N19" s="29" t="s">
        <v>27</v>
      </c>
      <c r="O19" s="29" t="s">
        <v>28</v>
      </c>
      <c r="P19" s="29" t="s">
        <v>29</v>
      </c>
    </row>
    <row r="20" ht="27" customHeight="1" spans="1:16" x14ac:dyDescent="0.25">
      <c r="A20" s="8"/>
      <c r="B20" s="30" t="s">
        <v>30</v>
      </c>
      <c r="C20" s="30"/>
      <c r="D20" s="31">
        <f>'+Seguridad Contra. PR Movilizad'!H12</f>
      </c>
      <c r="E20" s="31">
        <f>'+Seguridad Contra. PR Movilizad'!I12</f>
      </c>
      <c r="F20" s="31">
        <f>'+Seguridad Contra. PR Movilizad'!J12</f>
      </c>
      <c r="G20" s="31">
        <f>'+Seguridad Contra. PR Movilizad'!K12</f>
      </c>
      <c r="H20" s="31">
        <f>'+Seguridad Contra. PR Movilizad'!L12</f>
      </c>
      <c r="I20" s="31">
        <f>'+Seguridad Contra. PR Movilizad'!M12</f>
      </c>
      <c r="J20" s="31">
        <f>'+Seguridad Contra. PR Movilizad'!N12</f>
      </c>
      <c r="K20" s="31">
        <f>'+Seguridad Contra. PR Movilizad'!O12</f>
      </c>
      <c r="L20" s="31">
        <f>'+Seguridad Contra. PR Movilizad'!P12</f>
      </c>
      <c r="M20" s="31">
        <f>'+Seguridad Contra. PR Movilizad'!Q12</f>
      </c>
      <c r="N20" s="31">
        <f>'+Seguridad Contra. PR Movilizad'!R12</f>
      </c>
      <c r="O20" s="31">
        <f>'+Seguridad Contra. PR Movilizad'!S12</f>
      </c>
      <c r="P20" s="31">
        <f>AVERAGE(D20:O20)</f>
      </c>
    </row>
    <row r="21" ht="27" customHeight="1" spans="1:16" x14ac:dyDescent="0.25">
      <c r="A21" s="8"/>
      <c r="B21" s="30" t="s">
        <v>31</v>
      </c>
      <c r="C21" s="30"/>
      <c r="D21" s="31">
        <f>'+Seguridad Contra. PR Movilizad'!H16</f>
      </c>
      <c r="E21" s="31">
        <f>'+Seguridad Contra. PR Movilizad'!I16</f>
      </c>
      <c r="F21" s="31">
        <f>'+Seguridad Contra. PR Movilizad'!J16</f>
      </c>
      <c r="G21" s="31">
        <f>'+Seguridad Contra. PR Movilizad'!K16</f>
      </c>
      <c r="H21" s="31">
        <f>'+Seguridad Contra. PR Movilizad'!L16</f>
      </c>
      <c r="I21" s="31">
        <f>'+Seguridad Contra. PR Movilizad'!M16</f>
      </c>
      <c r="J21" s="31">
        <f>'+Seguridad Contra. PR Movilizad'!N16</f>
      </c>
      <c r="K21" s="31">
        <f>'+Seguridad Contra. PR Movilizad'!O16</f>
      </c>
      <c r="L21" s="31">
        <f>'+Seguridad Contra. PR Movilizad'!P16</f>
      </c>
      <c r="M21" s="31">
        <f>'+Seguridad Contra. PR Movilizad'!Q16</f>
      </c>
      <c r="N21" s="31">
        <f>'+Seguridad Contra. PR Movilizad'!R16</f>
      </c>
      <c r="O21" s="31">
        <f>'+Seguridad Contra. PR Movilizad'!S16</f>
      </c>
      <c r="P21" s="31">
        <f t="shared" ref="P21:P26" si="0">AVERAGE(D21:O21)</f>
      </c>
    </row>
    <row r="22" ht="27" customHeight="1" spans="1:16" x14ac:dyDescent="0.25">
      <c r="A22" s="8"/>
      <c r="B22" s="30" t="s">
        <v>32</v>
      </c>
      <c r="C22" s="30"/>
      <c r="D22" s="31">
        <f>'+Seguridad Contra. PR Movilizad'!H20</f>
      </c>
      <c r="E22" s="31">
        <f>'+Seguridad Contra. PR Movilizad'!I20</f>
      </c>
      <c r="F22" s="31">
        <f>'+Seguridad Contra. PR Movilizad'!J20</f>
      </c>
      <c r="G22" s="31">
        <f>'+Seguridad Contra. PR Movilizad'!K20</f>
      </c>
      <c r="H22" s="31">
        <f>'+Seguridad Contra. PR Movilizad'!L20</f>
      </c>
      <c r="I22" s="31">
        <f>'+Seguridad Contra. PR Movilizad'!M20</f>
      </c>
      <c r="J22" s="31">
        <f>'+Seguridad Contra. PR Movilizad'!N20</f>
      </c>
      <c r="K22" s="31">
        <f>'+Seguridad Contra. PR Movilizad'!O20</f>
      </c>
      <c r="L22" s="31">
        <f>'+Seguridad Contra. PR Movilizad'!P20</f>
      </c>
      <c r="M22" s="31">
        <f>'+Seguridad Contra. PR Movilizad'!Q20</f>
      </c>
      <c r="N22" s="31">
        <f>'+Seguridad Contra. PR Movilizad'!R20</f>
      </c>
      <c r="O22" s="31">
        <f>'+Seguridad Contra. PR Movilizad'!S20</f>
      </c>
      <c r="P22" s="31">
        <f t="shared" si="0"/>
      </c>
    </row>
    <row r="23" ht="27" customHeight="1" spans="1:16" x14ac:dyDescent="0.25">
      <c r="A23" s="8"/>
      <c r="B23" s="30" t="s">
        <v>33</v>
      </c>
      <c r="C23" s="30"/>
      <c r="D23" s="31">
        <f>'+Seguridad Contra. PR Movilizad'!H23</f>
      </c>
      <c r="E23" s="31">
        <f>'+Seguridad Contra. PR Movilizad'!I23</f>
      </c>
      <c r="F23" s="31">
        <f>'+Seguridad Contra. PR Movilizad'!J23</f>
      </c>
      <c r="G23" s="31">
        <f>'+Seguridad Contra. PR Movilizad'!K23</f>
      </c>
      <c r="H23" s="31">
        <f>'+Seguridad Contra. PR Movilizad'!L23</f>
      </c>
      <c r="I23" s="31">
        <f>'+Seguridad Contra. PR Movilizad'!M23</f>
      </c>
      <c r="J23" s="31">
        <f>'+Seguridad Contra. PR Movilizad'!N23</f>
      </c>
      <c r="K23" s="31">
        <f>'+Seguridad Contra. PR Movilizad'!O23</f>
      </c>
      <c r="L23" s="31">
        <f>'+Seguridad Contra. PR Movilizad'!P23</f>
      </c>
      <c r="M23" s="31">
        <f>'+Seguridad Contra. PR Movilizad'!Q23</f>
      </c>
      <c r="N23" s="31">
        <f>'+Seguridad Contra. PR Movilizad'!R23</f>
      </c>
      <c r="O23" s="31">
        <f>'+Seguridad Contra. PR Movilizad'!S23</f>
      </c>
      <c r="P23" s="31">
        <f t="shared" si="0"/>
      </c>
    </row>
    <row r="24" ht="27" customHeight="1" spans="1:16" x14ac:dyDescent="0.25">
      <c r="A24" s="8"/>
      <c r="B24" s="30" t="s">
        <v>34</v>
      </c>
      <c r="C24" s="30"/>
      <c r="D24" s="31">
        <f>'+Seguridad Contra. PR Movilizad'!H26</f>
      </c>
      <c r="E24" s="31">
        <f>'+Seguridad Contra. PR Movilizad'!I26</f>
      </c>
      <c r="F24" s="31">
        <f>'+Seguridad Contra. PR Movilizad'!J26</f>
      </c>
      <c r="G24" s="31">
        <f>'+Seguridad Contra. PR Movilizad'!K26</f>
      </c>
      <c r="H24" s="31">
        <f>'+Seguridad Contra. PR Movilizad'!L26</f>
      </c>
      <c r="I24" s="31">
        <f>'+Seguridad Contra. PR Movilizad'!M26</f>
      </c>
      <c r="J24" s="31">
        <f>'+Seguridad Contra. PR Movilizad'!N26</f>
      </c>
      <c r="K24" s="31">
        <f>'+Seguridad Contra. PR Movilizad'!O26</f>
      </c>
      <c r="L24" s="31">
        <f>'+Seguridad Contra. PR Movilizad'!P26</f>
      </c>
      <c r="M24" s="31">
        <f>'+Seguridad Contra. PR Movilizad'!Q26</f>
      </c>
      <c r="N24" s="31">
        <f>'+Seguridad Contra. PR Movilizad'!R26</f>
      </c>
      <c r="O24" s="31">
        <f>'+Seguridad Contra. PR Movilizad'!S26</f>
      </c>
      <c r="P24" s="31">
        <f t="shared" si="0"/>
      </c>
    </row>
    <row r="25" ht="27" customHeight="1" spans="1:16" x14ac:dyDescent="0.25">
      <c r="A25" s="8"/>
      <c r="B25" s="30" t="s">
        <v>35</v>
      </c>
      <c r="C25" s="30"/>
      <c r="D25" s="31">
        <f>'+Seguridad Contra. PR Movilizad'!H30</f>
      </c>
      <c r="E25" s="31">
        <f>'+Seguridad Contra. PR Movilizad'!I30</f>
      </c>
      <c r="F25" s="31">
        <f>'+Seguridad Contra. PR Movilizad'!J30</f>
      </c>
      <c r="G25" s="31">
        <f>'+Seguridad Contra. PR Movilizad'!K30</f>
      </c>
      <c r="H25" s="31">
        <f>'+Seguridad Contra. PR Movilizad'!L30</f>
      </c>
      <c r="I25" s="31">
        <f>'+Seguridad Contra. PR Movilizad'!M30</f>
      </c>
      <c r="J25" s="31">
        <f>'+Seguridad Contra. PR Movilizad'!N30</f>
      </c>
      <c r="K25" s="31">
        <f>'+Seguridad Contra. PR Movilizad'!O30</f>
      </c>
      <c r="L25" s="31">
        <f>'+Seguridad Contra. PR Movilizad'!P30</f>
      </c>
      <c r="M25" s="31">
        <f>'+Seguridad Contra. PR Movilizad'!Q30</f>
      </c>
      <c r="N25" s="31">
        <f>'+Seguridad Contra. PR Movilizad'!R30</f>
      </c>
      <c r="O25" s="31">
        <f>'+Seguridad Contra. PR Movilizad'!S30</f>
      </c>
      <c r="P25" s="31">
        <f t="shared" si="0"/>
      </c>
    </row>
    <row r="26" ht="33" customHeight="1" spans="1:16" x14ac:dyDescent="0.25">
      <c r="A26" s="8"/>
      <c r="B26" s="30" t="s">
        <v>36</v>
      </c>
      <c r="C26" s="30"/>
      <c r="D26" s="31">
        <f>'+Seguridad Contra. PR Movilizad'!H34</f>
      </c>
      <c r="E26" s="31">
        <f>'+Seguridad Contra. PR Movilizad'!I34</f>
      </c>
      <c r="F26" s="31">
        <f>'+Seguridad Contra. PR Movilizad'!J34</f>
      </c>
      <c r="G26" s="31">
        <f>'+Seguridad Contra. PR Movilizad'!K34</f>
      </c>
      <c r="H26" s="31">
        <f>'+Seguridad Contra. PR Movilizad'!L34</f>
      </c>
      <c r="I26" s="31">
        <f>'+Seguridad Contra. PR Movilizad'!M34</f>
      </c>
      <c r="J26" s="31">
        <f>'+Seguridad Contra. PR Movilizad'!N34</f>
      </c>
      <c r="K26" s="31">
        <f>'+Seguridad Contra. PR Movilizad'!O34</f>
      </c>
      <c r="L26" s="31">
        <f>'+Seguridad Contra. PR Movilizad'!P34</f>
      </c>
      <c r="M26" s="31">
        <f>'+Seguridad Contra. PR Movilizad'!Q34</f>
      </c>
      <c r="N26" s="31">
        <f>'+Seguridad Contra. PR Movilizad'!R34</f>
      </c>
      <c r="O26" s="31">
        <f>'+Seguridad Contra. PR Movilizad'!S34</f>
      </c>
      <c r="P26" s="31">
        <f t="shared" si="0"/>
      </c>
    </row>
    <row r="27" ht="28.75" customHeight="1" spans="1:16" x14ac:dyDescent="0.25">
      <c r="A27" s="8"/>
      <c r="B27" s="32" t="s">
        <v>37</v>
      </c>
      <c r="C27" s="32"/>
      <c r="D27" s="33">
        <f>AVERAGE(D20:D26)</f>
      </c>
      <c r="E27" s="33">
        <f t="shared" ref="E27:O27" si="1">AVERAGE(E20:E26)</f>
      </c>
      <c r="F27" s="33">
        <f t="shared" si="1"/>
      </c>
      <c r="G27" s="33">
        <f t="shared" si="1"/>
      </c>
      <c r="H27" s="33">
        <f t="shared" si="1"/>
      </c>
      <c r="I27" s="33">
        <f t="shared" si="1"/>
      </c>
      <c r="J27" s="33">
        <f t="shared" si="1"/>
      </c>
      <c r="K27" s="33">
        <f t="shared" si="1"/>
      </c>
      <c r="L27" s="33">
        <f t="shared" si="1"/>
      </c>
      <c r="M27" s="33">
        <f t="shared" si="1"/>
      </c>
      <c r="N27" s="33">
        <f t="shared" si="1"/>
      </c>
      <c r="O27" s="33">
        <f t="shared" si="1"/>
      </c>
      <c r="P27" s="33">
        <f>AVERAGE(D27:O27)</f>
      </c>
    </row>
    <row r="28" spans="1:13" x14ac:dyDescent="0.25">
      <c r="A28" s="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ht="23.4" customHeight="1" spans="1:16" x14ac:dyDescent="0.25">
      <c r="A29" s="8"/>
      <c r="B29" s="18" t="s">
        <v>38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ht="6" customHeight="1" spans="1:13" x14ac:dyDescent="0.25">
      <c r="A30" s="8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20.4" customHeight="1" spans="1:14" x14ac:dyDescent="0.25">
      <c r="A31" s="8"/>
      <c r="B31" s="1"/>
      <c r="C31" s="34" t="s">
        <v>39</v>
      </c>
      <c r="D31" s="34" t="s">
        <v>40</v>
      </c>
      <c r="E31" s="34" t="s">
        <v>41</v>
      </c>
      <c r="F31" s="34" t="s">
        <v>42</v>
      </c>
      <c r="G31" s="34" t="s">
        <v>43</v>
      </c>
      <c r="H31" s="34" t="s">
        <v>44</v>
      </c>
      <c r="I31" s="34" t="s">
        <v>45</v>
      </c>
      <c r="J31" s="34" t="s">
        <v>46</v>
      </c>
      <c r="K31" s="35" t="s">
        <v>47</v>
      </c>
      <c r="L31" s="35"/>
      <c r="M31" s="35"/>
      <c r="N31" s="35"/>
    </row>
    <row r="32" ht="18.65" customHeight="1" spans="1:14" x14ac:dyDescent="0.25">
      <c r="A32" s="8"/>
      <c r="B32" s="1"/>
      <c r="C32" s="34"/>
      <c r="D32" s="34"/>
      <c r="E32" s="34"/>
      <c r="F32" s="34"/>
      <c r="G32" s="34"/>
      <c r="H32" s="34"/>
      <c r="I32" s="34"/>
      <c r="J32" s="34"/>
      <c r="K32" s="36" t="s">
        <v>48</v>
      </c>
      <c r="L32" s="36" t="s">
        <v>49</v>
      </c>
      <c r="M32" s="36" t="s">
        <v>50</v>
      </c>
      <c r="N32" s="36" t="s">
        <v>51</v>
      </c>
    </row>
    <row r="33" spans="1:14" x14ac:dyDescent="0.25">
      <c r="A33" s="8"/>
      <c r="B33" s="37"/>
      <c r="C33" s="38" t="s">
        <v>52</v>
      </c>
      <c r="D33" s="38"/>
      <c r="E33" s="39">
        <f>(D33)</f>
      </c>
      <c r="F33" s="38"/>
      <c r="G33" s="39">
        <f>(F33)</f>
      </c>
      <c r="H33" s="38"/>
      <c r="I33" s="38"/>
      <c r="J33" s="40">
        <f>(I33)</f>
      </c>
      <c r="K33" s="41" t="e">
        <f>(D33/I33)*100</f>
        <v>#DIV/0!</v>
      </c>
      <c r="L33" s="41" t="e">
        <f>(E33/J33)*100</f>
        <v>#DIV/0!</v>
      </c>
      <c r="M33" s="41" t="e">
        <f>(D33/H33)*1000000</f>
        <v>#DIV/0!</v>
      </c>
      <c r="N33" s="41" t="e">
        <f>(F33/H33)*1000000</f>
        <v>#DIV/0!</v>
      </c>
    </row>
    <row r="34" spans="1:14" x14ac:dyDescent="0.25">
      <c r="A34" s="8"/>
      <c r="B34" s="1"/>
      <c r="C34" s="38" t="s">
        <v>53</v>
      </c>
      <c r="D34" s="38"/>
      <c r="E34" s="39">
        <f>(E33+D34)</f>
      </c>
      <c r="F34" s="38"/>
      <c r="G34" s="39">
        <f t="shared" ref="G34:G39" si="2">(G33+F34)</f>
      </c>
      <c r="H34" s="38"/>
      <c r="I34" s="38"/>
      <c r="J34" s="40">
        <f>(I34)</f>
      </c>
      <c r="K34" s="41" t="e">
        <f t="shared" ref="K34:L44" si="3">(D34/I34)*100</f>
        <v>#DIV/0!</v>
      </c>
      <c r="L34" s="41" t="e">
        <f t="shared" si="3"/>
        <v>#DIV/0!</v>
      </c>
      <c r="M34" s="41" t="e">
        <f t="shared" ref="M34:M39" si="4">(D34/H34)*1000000</f>
        <v>#DIV/0!</v>
      </c>
      <c r="N34" s="41" t="e">
        <f t="shared" ref="N34:N39" si="5">(F34/H34)*1000000</f>
        <v>#DIV/0!</v>
      </c>
    </row>
    <row r="35" spans="1:14" x14ac:dyDescent="0.25">
      <c r="A35" s="8"/>
      <c r="B35" s="37"/>
      <c r="C35" s="38" t="s">
        <v>54</v>
      </c>
      <c r="D35" s="38"/>
      <c r="E35" s="39">
        <f t="shared" ref="E35:E44" si="6">E34+D35</f>
      </c>
      <c r="F35" s="38"/>
      <c r="G35" s="39">
        <f t="shared" si="2"/>
      </c>
      <c r="H35" s="38"/>
      <c r="I35" s="38"/>
      <c r="J35" s="40">
        <f t="shared" ref="J35:J44" si="7">(I33+I34+I35)/3</f>
      </c>
      <c r="K35" s="41" t="e">
        <f t="shared" si="3"/>
        <v>#DIV/0!</v>
      </c>
      <c r="L35" s="41" t="e">
        <f t="shared" si="3"/>
        <v>#DIV/0!</v>
      </c>
      <c r="M35" s="41" t="e">
        <f t="shared" si="4"/>
        <v>#DIV/0!</v>
      </c>
      <c r="N35" s="41" t="e">
        <f t="shared" si="5"/>
        <v>#DIV/0!</v>
      </c>
    </row>
    <row r="36" spans="1:14" x14ac:dyDescent="0.25">
      <c r="A36" s="8"/>
      <c r="B36" s="37"/>
      <c r="C36" s="38" t="s">
        <v>55</v>
      </c>
      <c r="D36" s="38"/>
      <c r="E36" s="39">
        <f t="shared" si="6"/>
      </c>
      <c r="F36" s="38"/>
      <c r="G36" s="39">
        <f t="shared" si="2"/>
      </c>
      <c r="H36" s="38"/>
      <c r="I36" s="38"/>
      <c r="J36" s="40">
        <f t="shared" si="7"/>
      </c>
      <c r="K36" s="41" t="e">
        <f t="shared" si="3"/>
        <v>#DIV/0!</v>
      </c>
      <c r="L36" s="41" t="e">
        <f t="shared" si="3"/>
        <v>#DIV/0!</v>
      </c>
      <c r="M36" s="41" t="e">
        <f t="shared" si="4"/>
        <v>#DIV/0!</v>
      </c>
      <c r="N36" s="41" t="e">
        <f t="shared" si="5"/>
        <v>#DIV/0!</v>
      </c>
    </row>
    <row r="37" spans="1:14" x14ac:dyDescent="0.25">
      <c r="A37" s="8"/>
      <c r="B37" s="37"/>
      <c r="C37" s="38" t="s">
        <v>56</v>
      </c>
      <c r="D37" s="38"/>
      <c r="E37" s="39">
        <f t="shared" si="6"/>
      </c>
      <c r="F37" s="38"/>
      <c r="G37" s="39">
        <f t="shared" si="2"/>
      </c>
      <c r="H37" s="38"/>
      <c r="I37" s="38"/>
      <c r="J37" s="40">
        <f t="shared" si="7"/>
      </c>
      <c r="K37" s="41" t="e">
        <f t="shared" si="3"/>
        <v>#DIV/0!</v>
      </c>
      <c r="L37" s="41" t="e">
        <f t="shared" si="3"/>
        <v>#DIV/0!</v>
      </c>
      <c r="M37" s="41" t="e">
        <f t="shared" si="4"/>
        <v>#DIV/0!</v>
      </c>
      <c r="N37" s="41" t="e">
        <f t="shared" si="5"/>
        <v>#DIV/0!</v>
      </c>
    </row>
    <row r="38" spans="1:14" x14ac:dyDescent="0.25">
      <c r="A38" s="8"/>
      <c r="B38" s="37"/>
      <c r="C38" s="38" t="s">
        <v>57</v>
      </c>
      <c r="D38" s="38"/>
      <c r="E38" s="39">
        <f t="shared" si="6"/>
      </c>
      <c r="F38" s="38"/>
      <c r="G38" s="39">
        <f t="shared" si="2"/>
      </c>
      <c r="H38" s="38"/>
      <c r="I38" s="38"/>
      <c r="J38" s="40">
        <f t="shared" si="7"/>
      </c>
      <c r="K38" s="41" t="e">
        <f t="shared" si="3"/>
        <v>#DIV/0!</v>
      </c>
      <c r="L38" s="41" t="e">
        <f t="shared" si="3"/>
        <v>#DIV/0!</v>
      </c>
      <c r="M38" s="41" t="e">
        <f t="shared" si="4"/>
        <v>#DIV/0!</v>
      </c>
      <c r="N38" s="41" t="e">
        <f t="shared" si="5"/>
        <v>#DIV/0!</v>
      </c>
    </row>
    <row r="39" spans="1:14" x14ac:dyDescent="0.25">
      <c r="A39" s="8"/>
      <c r="B39" s="37"/>
      <c r="C39" s="38" t="s">
        <v>58</v>
      </c>
      <c r="D39" s="38"/>
      <c r="E39" s="39">
        <f t="shared" si="6"/>
      </c>
      <c r="F39" s="38"/>
      <c r="G39" s="39">
        <f t="shared" si="2"/>
      </c>
      <c r="H39" s="38"/>
      <c r="I39" s="38"/>
      <c r="J39" s="40">
        <f t="shared" si="7"/>
      </c>
      <c r="K39" s="41" t="e">
        <f t="shared" si="3"/>
        <v>#DIV/0!</v>
      </c>
      <c r="L39" s="41" t="e">
        <f t="shared" si="3"/>
        <v>#DIV/0!</v>
      </c>
      <c r="M39" s="41" t="e">
        <f t="shared" si="4"/>
        <v>#DIV/0!</v>
      </c>
      <c r="N39" s="41" t="e">
        <f t="shared" si="5"/>
        <v>#DIV/0!</v>
      </c>
    </row>
    <row r="40" spans="1:14" x14ac:dyDescent="0.25">
      <c r="A40" s="8"/>
      <c r="B40" s="37"/>
      <c r="C40" s="38" t="s">
        <v>59</v>
      </c>
      <c r="D40" s="38"/>
      <c r="E40" s="39">
        <f t="shared" si="6"/>
      </c>
      <c r="F40" s="38"/>
      <c r="G40" s="39">
        <f>(G39+F40)</f>
      </c>
      <c r="H40" s="38"/>
      <c r="I40" s="38"/>
      <c r="J40" s="40">
        <f t="shared" si="7"/>
      </c>
      <c r="K40" s="41" t="e">
        <f t="shared" si="3"/>
        <v>#DIV/0!</v>
      </c>
      <c r="L40" s="41" t="e">
        <f t="shared" si="3"/>
        <v>#DIV/0!</v>
      </c>
      <c r="M40" s="41" t="e">
        <f>(D40/H40)*1000000</f>
        <v>#DIV/0!</v>
      </c>
      <c r="N40" s="41" t="e">
        <f>(F40/H40)*1000000</f>
        <v>#DIV/0!</v>
      </c>
    </row>
    <row r="41" spans="1:14" x14ac:dyDescent="0.25">
      <c r="A41" s="8"/>
      <c r="B41" s="37"/>
      <c r="C41" s="38" t="s">
        <v>60</v>
      </c>
      <c r="D41" s="38"/>
      <c r="E41" s="39">
        <f t="shared" si="6"/>
      </c>
      <c r="F41" s="38"/>
      <c r="G41" s="39">
        <f>(G40+F41)</f>
      </c>
      <c r="H41" s="38"/>
      <c r="I41" s="38"/>
      <c r="J41" s="40">
        <f t="shared" si="7"/>
      </c>
      <c r="K41" s="41" t="e">
        <f t="shared" si="3"/>
        <v>#DIV/0!</v>
      </c>
      <c r="L41" s="41" t="e">
        <f t="shared" si="3"/>
        <v>#DIV/0!</v>
      </c>
      <c r="M41" s="41" t="e">
        <f>(D41/H41)*1000000</f>
        <v>#DIV/0!</v>
      </c>
      <c r="N41" s="41" t="e">
        <f>(F41/H41)*1000000</f>
        <v>#DIV/0!</v>
      </c>
    </row>
    <row r="42" spans="1:14" x14ac:dyDescent="0.25">
      <c r="A42" s="8"/>
      <c r="B42" s="37"/>
      <c r="C42" s="38" t="s">
        <v>61</v>
      </c>
      <c r="D42" s="38"/>
      <c r="E42" s="39">
        <f t="shared" si="6"/>
      </c>
      <c r="F42" s="38"/>
      <c r="G42" s="39">
        <f>(G41+F42)</f>
      </c>
      <c r="H42" s="38"/>
      <c r="I42" s="38"/>
      <c r="J42" s="40">
        <f t="shared" si="7"/>
      </c>
      <c r="K42" s="41" t="e">
        <f t="shared" si="3"/>
        <v>#DIV/0!</v>
      </c>
      <c r="L42" s="41" t="e">
        <f t="shared" si="3"/>
        <v>#DIV/0!</v>
      </c>
      <c r="M42" s="41" t="e">
        <f>(D42/H42)*1000000</f>
        <v>#DIV/0!</v>
      </c>
      <c r="N42" s="41" t="e">
        <f>(F42/H42)*1000000</f>
        <v>#DIV/0!</v>
      </c>
    </row>
    <row r="43" spans="1:14" x14ac:dyDescent="0.25">
      <c r="A43" s="8"/>
      <c r="B43" s="37"/>
      <c r="C43" s="38" t="s">
        <v>62</v>
      </c>
      <c r="D43" s="38"/>
      <c r="E43" s="39">
        <f t="shared" si="6"/>
      </c>
      <c r="F43" s="38"/>
      <c r="G43" s="39">
        <f>(G42+F43)</f>
      </c>
      <c r="H43" s="38"/>
      <c r="I43" s="38"/>
      <c r="J43" s="40">
        <f t="shared" si="7"/>
      </c>
      <c r="K43" s="41" t="e">
        <f t="shared" si="3"/>
        <v>#DIV/0!</v>
      </c>
      <c r="L43" s="41" t="e">
        <f t="shared" si="3"/>
        <v>#DIV/0!</v>
      </c>
      <c r="M43" s="41" t="e">
        <f>(D43/H43)*1000000</f>
        <v>#DIV/0!</v>
      </c>
      <c r="N43" s="41" t="e">
        <f>(F43/H43)*1000000</f>
        <v>#DIV/0!</v>
      </c>
    </row>
    <row r="44" spans="1:14" x14ac:dyDescent="0.25">
      <c r="A44" s="8"/>
      <c r="B44" s="37"/>
      <c r="C44" s="38" t="s">
        <v>63</v>
      </c>
      <c r="D44" s="42"/>
      <c r="E44" s="39">
        <f t="shared" si="6"/>
      </c>
      <c r="F44" s="42"/>
      <c r="G44" s="39">
        <f>(G43+F44)</f>
      </c>
      <c r="H44" s="42"/>
      <c r="I44" s="42"/>
      <c r="J44" s="40">
        <f t="shared" si="7"/>
      </c>
      <c r="K44" s="41" t="e">
        <f t="shared" si="3"/>
        <v>#DIV/0!</v>
      </c>
      <c r="L44" s="41" t="e">
        <f t="shared" si="3"/>
        <v>#DIV/0!</v>
      </c>
      <c r="M44" s="41" t="e">
        <f>(D44/H44)*1000000</f>
        <v>#DIV/0!</v>
      </c>
      <c r="N44" s="41" t="e">
        <f>(F44/H44)*1000000</f>
        <v>#DIV/0!</v>
      </c>
    </row>
    <row r="45" spans="1:13" x14ac:dyDescent="0.25">
      <c r="A45" s="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31.5" customHeight="1" spans="1:14" x14ac:dyDescent="0.25">
      <c r="A46" s="43"/>
      <c r="B46" s="37"/>
      <c r="C46" s="44" t="s">
        <v>64</v>
      </c>
      <c r="D46" s="44"/>
      <c r="E46" s="44"/>
      <c r="F46" s="44"/>
      <c r="G46" s="44"/>
      <c r="H46" s="34" t="s">
        <v>65</v>
      </c>
      <c r="I46" s="34" t="s">
        <v>66</v>
      </c>
      <c r="J46" s="34" t="s">
        <v>67</v>
      </c>
      <c r="K46" s="34" t="s">
        <v>68</v>
      </c>
      <c r="L46" s="34" t="s">
        <v>69</v>
      </c>
      <c r="M46" s="34" t="s">
        <v>70</v>
      </c>
      <c r="N46" s="34" t="s">
        <v>71</v>
      </c>
    </row>
    <row r="47" spans="1:14" x14ac:dyDescent="0.25">
      <c r="A47" s="8"/>
      <c r="B47" s="37"/>
      <c r="C47" s="38"/>
      <c r="D47" s="38"/>
      <c r="E47" s="38"/>
      <c r="F47" s="38"/>
      <c r="G47" s="38"/>
      <c r="H47" s="45"/>
      <c r="I47" s="46"/>
      <c r="J47" s="45"/>
      <c r="K47" s="38"/>
      <c r="L47" s="38"/>
      <c r="M47" s="38"/>
      <c r="N47" s="38"/>
    </row>
    <row r="48" spans="1:14" x14ac:dyDescent="0.25">
      <c r="A48" s="8"/>
      <c r="B48" s="37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</row>
    <row r="49" spans="1:14" x14ac:dyDescent="0.25">
      <c r="A49" s="8"/>
      <c r="B49" s="37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</row>
    <row r="50" spans="1:14" x14ac:dyDescent="0.25">
      <c r="A50" s="8"/>
      <c r="B50" s="37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</row>
    <row r="51" spans="1:14" x14ac:dyDescent="0.25">
      <c r="A51" s="8"/>
      <c r="B51" s="37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14" x14ac:dyDescent="0.25">
      <c r="A52" s="8"/>
      <c r="B52" s="37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</row>
    <row r="53" ht="15" customHeight="1" spans="1:14" x14ac:dyDescent="0.25">
      <c r="A53" s="8"/>
      <c r="B53" s="37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</row>
    <row r="54" spans="1:13" x14ac:dyDescent="0.25">
      <c r="A54" s="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8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84" ht="68.25" customHeight="1" x14ac:dyDescent="0.25"/>
  </sheetData>
  <mergeCells count="69">
    <mergeCell ref="E1:L2"/>
    <mergeCell ref="E3:L4"/>
    <mergeCell ref="B6:D6"/>
    <mergeCell ref="E6:H6"/>
    <mergeCell ref="K6:L6"/>
    <mergeCell ref="M6:P6"/>
    <mergeCell ref="B7:D7"/>
    <mergeCell ref="E7:H7"/>
    <mergeCell ref="K7:L7"/>
    <mergeCell ref="M7:P7"/>
    <mergeCell ref="B8:D8"/>
    <mergeCell ref="E8:H8"/>
    <mergeCell ref="K8:L8"/>
    <mergeCell ref="M8:P8"/>
    <mergeCell ref="B9:D9"/>
    <mergeCell ref="E9:H9"/>
    <mergeCell ref="K9:L9"/>
    <mergeCell ref="M9:P9"/>
    <mergeCell ref="B10:D10"/>
    <mergeCell ref="E10:J10"/>
    <mergeCell ref="B11:P11"/>
    <mergeCell ref="B13:I13"/>
    <mergeCell ref="J13:K14"/>
    <mergeCell ref="L13:M14"/>
    <mergeCell ref="N13:O14"/>
    <mergeCell ref="B14:E14"/>
    <mergeCell ref="F14:G14"/>
    <mergeCell ref="H14:I14"/>
    <mergeCell ref="P13:P14"/>
    <mergeCell ref="B15:E15"/>
    <mergeCell ref="F15:G15"/>
    <mergeCell ref="H15:I15"/>
    <mergeCell ref="J15:K17"/>
    <mergeCell ref="L15:M17"/>
    <mergeCell ref="N15:O17"/>
    <mergeCell ref="B16:E16"/>
    <mergeCell ref="F16:G16"/>
    <mergeCell ref="H16:I16"/>
    <mergeCell ref="P15:P17"/>
    <mergeCell ref="B17:E17"/>
    <mergeCell ref="F17:G17"/>
    <mergeCell ref="H17:I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9:P29"/>
    <mergeCell ref="K31:N31"/>
    <mergeCell ref="C31:C32"/>
    <mergeCell ref="D31:D32"/>
    <mergeCell ref="E31:E32"/>
    <mergeCell ref="F31:F32"/>
    <mergeCell ref="G31:G32"/>
    <mergeCell ref="H31:H32"/>
    <mergeCell ref="I31:I32"/>
    <mergeCell ref="J31:J32"/>
    <mergeCell ref="C46:G46"/>
    <mergeCell ref="C47:G47"/>
    <mergeCell ref="C48:G48"/>
    <mergeCell ref="C49:G49"/>
    <mergeCell ref="C50:G50"/>
    <mergeCell ref="C51:G51"/>
    <mergeCell ref="C52:G52"/>
    <mergeCell ref="C53:G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estadístico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2026-03-04T06:12:22Z</dcterms:created>
  <dcterms:modified xsi:type="dcterms:W3CDTF">2026-03-04T06:12:22Z</dcterms:modified>
</cp:coreProperties>
</file>